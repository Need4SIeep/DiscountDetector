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\OneDrive\Bureaublad\Personal_Docs\Financials\Online_Costtracking\"/>
    </mc:Choice>
  </mc:AlternateContent>
  <xr:revisionPtr revIDLastSave="0" documentId="13_ncr:1_{2BBDF35F-CA15-496C-A34A-1C80CBFB6B0C}" xr6:coauthVersionLast="47" xr6:coauthVersionMax="47" xr10:uidLastSave="{00000000-0000-0000-0000-000000000000}"/>
  <bookViews>
    <workbookView xWindow="23790" yWindow="-13305" windowWidth="19335" windowHeight="12585" xr2:uid="{5226C726-5CC2-4D37-8853-65FDF432A33B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</calcChain>
</file>

<file path=xl/sharedStrings.xml><?xml version="1.0" encoding="utf-8"?>
<sst xmlns="http://schemas.openxmlformats.org/spreadsheetml/2006/main" count="88" uniqueCount="41">
  <si>
    <t>Tandpasta</t>
  </si>
  <si>
    <t xml:space="preserve">Sensodyne </t>
  </si>
  <si>
    <t>ml</t>
  </si>
  <si>
    <t>01.01.2023</t>
  </si>
  <si>
    <t>01.03.2024</t>
  </si>
  <si>
    <t>Shampoo</t>
  </si>
  <si>
    <t>Head &amp; Shoulders</t>
  </si>
  <si>
    <t>Bol</t>
  </si>
  <si>
    <t>01.02.2026</t>
  </si>
  <si>
    <t>Kruidvat</t>
  </si>
  <si>
    <t>Afwasmiddel klein</t>
  </si>
  <si>
    <t xml:space="preserve">Dreft </t>
  </si>
  <si>
    <t>Wasmiddel</t>
  </si>
  <si>
    <t>Robijn</t>
  </si>
  <si>
    <t>Wasverzachter</t>
  </si>
  <si>
    <t>Wascapsules</t>
  </si>
  <si>
    <t>01.03.2025</t>
  </si>
  <si>
    <t>01.04.2024</t>
  </si>
  <si>
    <t>Scheermesjes</t>
  </si>
  <si>
    <t>Gilette</t>
  </si>
  <si>
    <t>mesje</t>
  </si>
  <si>
    <t>Opzetborstel</t>
  </si>
  <si>
    <t xml:space="preserve">Oral-B </t>
  </si>
  <si>
    <t>Opzetborstel (CrossAction)</t>
  </si>
  <si>
    <t>Amazon</t>
  </si>
  <si>
    <t>Toiletblok Witte Reus</t>
  </si>
  <si>
    <t>Witte Reus</t>
  </si>
  <si>
    <t>blok</t>
  </si>
  <si>
    <t>Toiletpapier</t>
  </si>
  <si>
    <t>Article</t>
  </si>
  <si>
    <t>Brand</t>
  </si>
  <si>
    <t>Price</t>
  </si>
  <si>
    <t>Quantity</t>
  </si>
  <si>
    <t>Unit</t>
  </si>
  <si>
    <t>PurchaseDate</t>
  </si>
  <si>
    <t>Notes</t>
  </si>
  <si>
    <t>wasbeurten</t>
  </si>
  <si>
    <t>borstels</t>
  </si>
  <si>
    <t>rollen</t>
  </si>
  <si>
    <t>Capacity</t>
  </si>
  <si>
    <t>01.01.2020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</si>
</sst>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€&quot;\ * #,##0.000_ ;_ &quot;€&quot;\ * \-#,##0.000_ ;_ &quot;€&quot;\ * &quot;-&quot;???_ ;_ @_ "/>
    <numFmt numFmtId="165" formatCode="_ &quot;€&quot;\ * #,##0.00_ ;_ &quot;€&quot;\ * \-#,##0.00_ ;_ &quot;€&quot;\ * &quot;-&quot;???_ ;_ @_ 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\OneDrive\Bureaublad\Personal_Docs\Financials\Martijn.xlsx" TargetMode="External"/><Relationship Id="rId1" Type="http://schemas.openxmlformats.org/officeDocument/2006/relationships/externalLinkPath" Target="file:///C:\Users\marti\OneDrive\Bureaublad\Personal_Docs\Financials\Martij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ishoudartikelen"/>
      <sheetName val="Datamodel_App"/>
      <sheetName val="Vaste lasten"/>
      <sheetName val="Vakanties"/>
      <sheetName val="Engeland_2026"/>
    </sheetNames>
    <sheetDataSet>
      <sheetData sheetId="0">
        <row r="4">
          <cell r="D4">
            <v>75</v>
          </cell>
          <cell r="G4">
            <v>10</v>
          </cell>
        </row>
        <row r="5">
          <cell r="D5">
            <v>75</v>
          </cell>
          <cell r="G5">
            <v>12</v>
          </cell>
        </row>
        <row r="6">
          <cell r="D6">
            <v>285</v>
          </cell>
          <cell r="G6">
            <v>10</v>
          </cell>
        </row>
        <row r="7">
          <cell r="D7">
            <v>285</v>
          </cell>
          <cell r="G7">
            <v>11.98</v>
          </cell>
        </row>
        <row r="8">
          <cell r="D8">
            <v>1000</v>
          </cell>
          <cell r="G8">
            <v>20</v>
          </cell>
        </row>
        <row r="9">
          <cell r="D9">
            <v>350</v>
          </cell>
          <cell r="G9">
            <v>1</v>
          </cell>
        </row>
        <row r="10">
          <cell r="D10">
            <v>370</v>
          </cell>
          <cell r="G10">
            <v>1</v>
          </cell>
        </row>
        <row r="11">
          <cell r="D11">
            <v>1800</v>
          </cell>
          <cell r="G11">
            <v>36</v>
          </cell>
        </row>
        <row r="12">
          <cell r="D12">
            <v>3000</v>
          </cell>
          <cell r="G12">
            <v>10</v>
          </cell>
        </row>
        <row r="13">
          <cell r="D13">
            <v>60</v>
          </cell>
          <cell r="G13">
            <v>9.99</v>
          </cell>
        </row>
        <row r="14">
          <cell r="D14">
            <v>1250</v>
          </cell>
          <cell r="G14">
            <v>8</v>
          </cell>
        </row>
        <row r="15">
          <cell r="D15">
            <v>750</v>
          </cell>
          <cell r="G15">
            <v>7.6</v>
          </cell>
        </row>
        <row r="16">
          <cell r="D16">
            <v>40</v>
          </cell>
          <cell r="G16">
            <v>34.79</v>
          </cell>
        </row>
        <row r="17">
          <cell r="D17">
            <v>40</v>
          </cell>
          <cell r="G17">
            <v>26.09</v>
          </cell>
        </row>
        <row r="18">
          <cell r="D18">
            <v>4</v>
          </cell>
          <cell r="G18">
            <v>39.979999999999997</v>
          </cell>
        </row>
        <row r="19">
          <cell r="D19">
            <v>4</v>
          </cell>
          <cell r="G19">
            <v>16.79</v>
          </cell>
        </row>
        <row r="20">
          <cell r="D20">
            <v>4</v>
          </cell>
          <cell r="G20">
            <v>24.49</v>
          </cell>
        </row>
        <row r="21">
          <cell r="D21">
            <v>1</v>
          </cell>
          <cell r="G21">
            <v>5</v>
          </cell>
        </row>
        <row r="22">
          <cell r="G22">
            <v>7.5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294F1-ABD8-42F1-B128-CCED74CA925E}">
  <dimension ref="A1:H20"/>
  <sheetViews>
    <sheetView tabSelected="1" workbookViewId="0">
      <selection activeCell="G19" sqref="G19:G20"/>
    </sheetView>
  </sheetViews>
  <sheetFormatPr defaultRowHeight="14.25" x14ac:dyDescent="0.45"/>
  <cols>
    <col min="1" max="1" width="23.265625" bestFit="1" customWidth="1"/>
    <col min="2" max="2" width="15.53125" bestFit="1" customWidth="1"/>
    <col min="3" max="3" width="19.06640625" customWidth="1"/>
    <col min="4" max="4" width="7.796875" bestFit="1" customWidth="1"/>
    <col min="5" max="5" width="7.796875" customWidth="1"/>
    <col min="6" max="6" width="15.1328125" customWidth="1"/>
    <col min="7" max="7" width="14.46484375" bestFit="1" customWidth="1"/>
    <col min="8" max="8" width="7.6640625" bestFit="1" customWidth="1"/>
  </cols>
  <sheetData>
    <row r="1" spans="1:8" x14ac:dyDescent="0.45">
      <c r="A1" t="s">
        <v>29</v>
      </c>
      <c r="B1" t="s">
        <v>30</v>
      </c>
      <c r="C1" t="s">
        <v>31</v>
      </c>
      <c r="D1" t="s">
        <v>32</v>
      </c>
      <c r="E1" t="s">
        <v>39</v>
      </c>
      <c r="F1" s="1" t="s">
        <v>33</v>
      </c>
      <c r="G1" s="1" t="s">
        <v>34</v>
      </c>
      <c r="H1" t="s">
        <v>35</v>
      </c>
    </row>
    <row r="2" spans="1:8" x14ac:dyDescent="0.45">
      <c r="A2" t="s">
        <v>0</v>
      </c>
      <c r="B2" t="s">
        <v>1</v>
      </c>
      <c r="C2" s="2">
        <f>[1]Huishoudartikelen!G4</f>
        <v>10</v>
      </c>
      <c r="D2">
        <v>3</v>
      </c>
      <c r="E2">
        <f>[1]Huishoudartikelen!D4</f>
        <v>75</v>
      </c>
      <c r="F2" t="s">
        <v>2</v>
      </c>
      <c r="G2" t="s">
        <v>3</v>
      </c>
    </row>
    <row r="3" spans="1:8" x14ac:dyDescent="0.45">
      <c r="A3" t="s">
        <v>0</v>
      </c>
      <c r="B3" t="s">
        <v>1</v>
      </c>
      <c r="C3" s="2">
        <f>[1]Huishoudartikelen!G5</f>
        <v>12</v>
      </c>
      <c r="D3">
        <v>3</v>
      </c>
      <c r="E3">
        <f>[1]Huishoudartikelen!D5</f>
        <v>75</v>
      </c>
      <c r="F3" t="s">
        <v>2</v>
      </c>
      <c r="G3" t="s">
        <v>4</v>
      </c>
    </row>
    <row r="4" spans="1:8" x14ac:dyDescent="0.45">
      <c r="A4" t="s">
        <v>5</v>
      </c>
      <c r="B4" t="s">
        <v>6</v>
      </c>
      <c r="C4" s="2">
        <f>[1]Huishoudartikelen!G6</f>
        <v>10</v>
      </c>
      <c r="D4">
        <v>4</v>
      </c>
      <c r="E4">
        <f>[1]Huishoudartikelen!D6</f>
        <v>285</v>
      </c>
      <c r="F4" t="s">
        <v>2</v>
      </c>
      <c r="G4" t="s">
        <v>40</v>
      </c>
    </row>
    <row r="5" spans="1:8" x14ac:dyDescent="0.45">
      <c r="A5" t="s">
        <v>5</v>
      </c>
      <c r="B5" t="s">
        <v>6</v>
      </c>
      <c r="C5" s="2">
        <f>[1]Huishoudartikelen!G7</f>
        <v>11.98</v>
      </c>
      <c r="D5">
        <v>4</v>
      </c>
      <c r="E5">
        <f>[1]Huishoudartikelen!D7</f>
        <v>285</v>
      </c>
      <c r="F5" t="s">
        <v>2</v>
      </c>
      <c r="G5" t="s">
        <v>4</v>
      </c>
      <c r="H5" t="s">
        <v>7</v>
      </c>
    </row>
    <row r="6" spans="1:8" x14ac:dyDescent="0.45">
      <c r="A6" t="s">
        <v>5</v>
      </c>
      <c r="B6" t="s">
        <v>6</v>
      </c>
      <c r="C6" s="2">
        <f>[1]Huishoudartikelen!G8</f>
        <v>20</v>
      </c>
      <c r="D6">
        <v>4</v>
      </c>
      <c r="E6">
        <f>[1]Huishoudartikelen!D8</f>
        <v>1000</v>
      </c>
      <c r="F6" t="s">
        <v>2</v>
      </c>
      <c r="G6" t="s">
        <v>8</v>
      </c>
      <c r="H6" t="s">
        <v>9</v>
      </c>
    </row>
    <row r="7" spans="1:8" x14ac:dyDescent="0.45">
      <c r="A7" t="s">
        <v>10</v>
      </c>
      <c r="B7" t="s">
        <v>11</v>
      </c>
      <c r="C7" s="2">
        <f>[1]Huishoudartikelen!G9</f>
        <v>1</v>
      </c>
      <c r="D7">
        <v>1</v>
      </c>
      <c r="E7">
        <f>[1]Huishoudartikelen!D9</f>
        <v>350</v>
      </c>
      <c r="F7" t="s">
        <v>2</v>
      </c>
      <c r="G7" t="s">
        <v>40</v>
      </c>
    </row>
    <row r="8" spans="1:8" x14ac:dyDescent="0.45">
      <c r="A8" t="s">
        <v>10</v>
      </c>
      <c r="B8" t="s">
        <v>11</v>
      </c>
      <c r="C8" s="2">
        <f>[1]Huishoudartikelen!G10</f>
        <v>1</v>
      </c>
      <c r="D8">
        <v>1</v>
      </c>
      <c r="E8">
        <f>[1]Huishoudartikelen!D10</f>
        <v>370</v>
      </c>
      <c r="F8" t="s">
        <v>2</v>
      </c>
      <c r="G8" t="s">
        <v>40</v>
      </c>
    </row>
    <row r="9" spans="1:8" x14ac:dyDescent="0.45">
      <c r="A9" t="s">
        <v>12</v>
      </c>
      <c r="B9" t="s">
        <v>13</v>
      </c>
      <c r="C9" s="2">
        <f>[1]Huishoudartikelen!G11</f>
        <v>36</v>
      </c>
      <c r="D9">
        <v>5</v>
      </c>
      <c r="E9">
        <f>[1]Huishoudartikelen!D11</f>
        <v>1800</v>
      </c>
      <c r="F9" t="s">
        <v>2</v>
      </c>
      <c r="G9" t="s">
        <v>40</v>
      </c>
    </row>
    <row r="10" spans="1:8" x14ac:dyDescent="0.45">
      <c r="A10" t="s">
        <v>12</v>
      </c>
      <c r="B10" t="s">
        <v>13</v>
      </c>
      <c r="C10" s="2">
        <f>[1]Huishoudartikelen!G12</f>
        <v>10</v>
      </c>
      <c r="D10">
        <v>1</v>
      </c>
      <c r="E10">
        <f>[1]Huishoudartikelen!D12</f>
        <v>3000</v>
      </c>
      <c r="F10" t="s">
        <v>2</v>
      </c>
      <c r="G10" t="s">
        <v>4</v>
      </c>
    </row>
    <row r="11" spans="1:8" x14ac:dyDescent="0.45">
      <c r="A11" t="s">
        <v>12</v>
      </c>
      <c r="B11" t="s">
        <v>13</v>
      </c>
      <c r="C11" s="2">
        <f>[1]Huishoudartikelen!G13</f>
        <v>9.99</v>
      </c>
      <c r="D11">
        <v>1</v>
      </c>
      <c r="E11">
        <f>[1]Huishoudartikelen!D13</f>
        <v>60</v>
      </c>
      <c r="F11" t="s">
        <v>36</v>
      </c>
      <c r="G11" t="s">
        <v>40</v>
      </c>
    </row>
    <row r="12" spans="1:8" x14ac:dyDescent="0.45">
      <c r="A12" t="s">
        <v>14</v>
      </c>
      <c r="B12" t="s">
        <v>13</v>
      </c>
      <c r="C12" s="2">
        <f>[1]Huishoudartikelen!G14</f>
        <v>8</v>
      </c>
      <c r="D12">
        <v>2</v>
      </c>
      <c r="E12">
        <f>[1]Huishoudartikelen!D14</f>
        <v>1250</v>
      </c>
      <c r="F12" t="s">
        <v>2</v>
      </c>
      <c r="G12" t="s">
        <v>40</v>
      </c>
    </row>
    <row r="13" spans="1:8" x14ac:dyDescent="0.45">
      <c r="A13" t="s">
        <v>14</v>
      </c>
      <c r="B13" t="s">
        <v>13</v>
      </c>
      <c r="C13" s="2">
        <f>[1]Huishoudartikelen!G15</f>
        <v>7.6</v>
      </c>
      <c r="D13">
        <v>4</v>
      </c>
      <c r="E13">
        <f>[1]Huishoudartikelen!D15</f>
        <v>750</v>
      </c>
      <c r="F13" t="s">
        <v>2</v>
      </c>
      <c r="G13" t="s">
        <v>40</v>
      </c>
    </row>
    <row r="14" spans="1:8" x14ac:dyDescent="0.45">
      <c r="A14" t="s">
        <v>15</v>
      </c>
      <c r="B14" t="s">
        <v>13</v>
      </c>
      <c r="C14" s="2">
        <f>[1]Huishoudartikelen!G16</f>
        <v>34.79</v>
      </c>
      <c r="D14">
        <v>3</v>
      </c>
      <c r="E14">
        <f>[1]Huishoudartikelen!D16</f>
        <v>40</v>
      </c>
      <c r="F14" t="s">
        <v>36</v>
      </c>
      <c r="G14" t="s">
        <v>16</v>
      </c>
      <c r="H14" t="s">
        <v>7</v>
      </c>
    </row>
    <row r="15" spans="1:8" x14ac:dyDescent="0.45">
      <c r="A15" t="s">
        <v>15</v>
      </c>
      <c r="B15" t="s">
        <v>13</v>
      </c>
      <c r="C15" s="2">
        <f>[1]Huishoudartikelen!G17</f>
        <v>26.09</v>
      </c>
      <c r="D15">
        <v>3</v>
      </c>
      <c r="E15">
        <f>[1]Huishoudartikelen!D17</f>
        <v>40</v>
      </c>
      <c r="F15" t="s">
        <v>36</v>
      </c>
      <c r="G15" t="s">
        <v>17</v>
      </c>
    </row>
    <row r="16" spans="1:8" x14ac:dyDescent="0.45">
      <c r="A16" t="s">
        <v>18</v>
      </c>
      <c r="B16" t="s">
        <v>19</v>
      </c>
      <c r="C16" s="2">
        <f>[1]Huishoudartikelen!G18</f>
        <v>39.979999999999997</v>
      </c>
      <c r="D16">
        <v>4</v>
      </c>
      <c r="E16">
        <f>[1]Huishoudartikelen!D18</f>
        <v>4</v>
      </c>
      <c r="F16" t="s">
        <v>20</v>
      </c>
      <c r="G16" t="s">
        <v>40</v>
      </c>
    </row>
    <row r="17" spans="1:8" x14ac:dyDescent="0.45">
      <c r="A17" t="s">
        <v>21</v>
      </c>
      <c r="B17" t="s">
        <v>22</v>
      </c>
      <c r="C17" s="2">
        <f>[1]Huishoudartikelen!G19</f>
        <v>16.79</v>
      </c>
      <c r="D17">
        <v>1</v>
      </c>
      <c r="E17">
        <f>[1]Huishoudartikelen!D19</f>
        <v>4</v>
      </c>
      <c r="F17" t="s">
        <v>37</v>
      </c>
      <c r="G17" t="s">
        <v>40</v>
      </c>
    </row>
    <row r="18" spans="1:8" x14ac:dyDescent="0.45">
      <c r="A18" t="s">
        <v>23</v>
      </c>
      <c r="B18" t="s">
        <v>22</v>
      </c>
      <c r="C18" s="2">
        <f>[1]Huishoudartikelen!G20</f>
        <v>24.49</v>
      </c>
      <c r="D18">
        <v>3</v>
      </c>
      <c r="E18">
        <f>[1]Huishoudartikelen!D20</f>
        <v>4</v>
      </c>
      <c r="F18" t="s">
        <v>37</v>
      </c>
      <c r="G18" t="s">
        <v>17</v>
      </c>
      <c r="H18" t="s">
        <v>24</v>
      </c>
    </row>
    <row r="19" spans="1:8" x14ac:dyDescent="0.45">
      <c r="A19" t="s">
        <v>25</v>
      </c>
      <c r="B19" t="s">
        <v>26</v>
      </c>
      <c r="C19" s="2">
        <f>[1]Huishoudartikelen!G21</f>
        <v>5</v>
      </c>
      <c r="D19">
        <v>3</v>
      </c>
      <c r="E19">
        <f>[1]Huishoudartikelen!D21</f>
        <v>1</v>
      </c>
      <c r="F19" t="s">
        <v>27</v>
      </c>
      <c r="G19" t="s">
        <v>40</v>
      </c>
    </row>
    <row r="20" spans="1:8" x14ac:dyDescent="0.45">
      <c r="A20" t="s">
        <v>28</v>
      </c>
      <c r="B20" t="s">
        <v>9</v>
      </c>
      <c r="C20" s="2">
        <f>[1]Huishoudartikelen!G22</f>
        <v>7.5</v>
      </c>
      <c r="D20">
        <v>3</v>
      </c>
      <c r="E20">
        <v>8</v>
      </c>
      <c r="F20" t="s">
        <v>38</v>
      </c>
      <c r="G20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Martijn Luijer</dc:creator>
  <cp:lastModifiedBy>Martijn Luijer</cp:lastModifiedBy>
  <dcterms:created xsi:type="dcterms:W3CDTF">2026-03-16T14:40:17Z</dcterms:created>
  <dcterms:modified xsi:type="dcterms:W3CDTF">2026-03-16T16:11:07Z</dcterms:modified>
</cp:coreProperties>
</file>